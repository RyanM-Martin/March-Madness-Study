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ryanmartin/Downloads/"/>
    </mc:Choice>
  </mc:AlternateContent>
  <xr:revisionPtr revIDLastSave="0" documentId="13_ncr:1_{44FA4B51-C85C-0343-88F9-882504CE7A62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3" i="1"/>
  <c r="C4" i="1"/>
  <c r="C5" i="1"/>
  <c r="C6" i="1"/>
  <c r="C7" i="1"/>
  <c r="C8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" i="1"/>
</calcChain>
</file>

<file path=xl/sharedStrings.xml><?xml version="1.0" encoding="utf-8"?>
<sst xmlns="http://schemas.openxmlformats.org/spreadsheetml/2006/main" count="94" uniqueCount="63">
  <si>
    <t>champs</t>
  </si>
  <si>
    <t>Total</t>
  </si>
  <si>
    <t>2025 tot</t>
  </si>
  <si>
    <t>2024 tot</t>
  </si>
  <si>
    <t>2025 champ</t>
  </si>
  <si>
    <t>2024 champ</t>
  </si>
  <si>
    <t>Final 4</t>
  </si>
  <si>
    <t>Elite 8</t>
  </si>
  <si>
    <t>Sweet 16</t>
  </si>
  <si>
    <t>R of 32</t>
  </si>
  <si>
    <t>R of 64</t>
  </si>
  <si>
    <t>Mealor Method bracket</t>
  </si>
  <si>
    <t>My guess</t>
  </si>
  <si>
    <t>Top 25 away-nuetral record</t>
  </si>
  <si>
    <t>Total offensive efficiency</t>
  </si>
  <si>
    <t>points per play vs top 35 teams</t>
  </si>
  <si>
    <t>Total Efficiency vs top 35 teams</t>
  </si>
  <si>
    <t>Bart's picks</t>
  </si>
  <si>
    <t>Offensive efficiency vs top 35 teams</t>
  </si>
  <si>
    <t>SEC / conference prestige</t>
  </si>
  <si>
    <t>Total overall efficiency</t>
  </si>
  <si>
    <t>/</t>
  </si>
  <si>
    <t>Total defensive efficiency</t>
  </si>
  <si>
    <t>height</t>
  </si>
  <si>
    <t>Talent-experience picks</t>
  </si>
  <si>
    <t>Turnover rate vs top 35 teams</t>
  </si>
  <si>
    <t>Field goal percentage vs top 35 teams</t>
  </si>
  <si>
    <t>emotional</t>
  </si>
  <si>
    <t>Defensive efficiency vs top 35 teams</t>
  </si>
  <si>
    <t>3 point % vs top 35 teams</t>
  </si>
  <si>
    <t>Mascot picks</t>
  </si>
  <si>
    <t>upset C</t>
  </si>
  <si>
    <t>bible bracket</t>
  </si>
  <si>
    <t>upset B</t>
  </si>
  <si>
    <t>coin flip</t>
  </si>
  <si>
    <t>upset</t>
  </si>
  <si>
    <t>Perfect</t>
  </si>
  <si>
    <t>Majority blue/ 2+ champs</t>
  </si>
  <si>
    <t>2 champs</t>
  </si>
  <si>
    <t>&gt;=3000</t>
  </si>
  <si>
    <t>&gt;=1400</t>
  </si>
  <si>
    <t>correct</t>
  </si>
  <si>
    <t>&gt;=580</t>
  </si>
  <si>
    <t>&gt;=90.6%</t>
  </si>
  <si>
    <t>Majority Green/1 champ</t>
  </si>
  <si>
    <t>1 champ</t>
  </si>
  <si>
    <t>&gt;=2500</t>
  </si>
  <si>
    <t>&gt;=1000</t>
  </si>
  <si>
    <t>&gt;=480</t>
  </si>
  <si>
    <t>&gt;=75%</t>
  </si>
  <si>
    <t>Majority Orange</t>
  </si>
  <si>
    <t>&gt;=1750</t>
  </si>
  <si>
    <t>&gt;=750</t>
  </si>
  <si>
    <t>&gt;=320</t>
  </si>
  <si>
    <t>&gt;=50%</t>
  </si>
  <si>
    <t>majority red</t>
  </si>
  <si>
    <t>none</t>
  </si>
  <si>
    <t>&lt;1750</t>
  </si>
  <si>
    <t>&lt;750</t>
  </si>
  <si>
    <t>incorrect</t>
  </si>
  <si>
    <t>&lt;320</t>
  </si>
  <si>
    <t>&lt;50%</t>
  </si>
  <si>
    <t>&lt;480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</si>
</sst>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0000FF"/>
      </patternFill>
    </fill>
    <fill>
      <patternFill patternType="solid">
        <fgColor rgb="FFFFC000"/>
        <bgColor rgb="FF0000FF"/>
      </patternFill>
    </fill>
    <fill>
      <patternFill patternType="solid">
        <fgColor rgb="FFFC9400"/>
        <bgColor rgb="FF0000FF"/>
      </patternFill>
    </fill>
    <fill>
      <patternFill patternType="solid">
        <fgColor rgb="FF00F4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0" fontId="1" fillId="6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400"/>
      <color rgb="FF00D600"/>
      <color rgb="FFFC9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3"/>
  <sheetViews>
    <sheetView tabSelected="1" zoomScale="150" workbookViewId="0">
      <selection activeCell="G2" sqref="G2"/>
    </sheetView>
  </sheetViews>
  <sheetFormatPr baseColWidth="10" defaultColWidth="12.6640625" defaultRowHeight="15.75" customHeight="1" x14ac:dyDescent="0.15"/>
  <cols>
    <col min="1" max="1" width="29.1640625" customWidth="1"/>
    <col min="2" max="3" width="7.6640625" customWidth="1"/>
    <col min="4" max="4" width="8.1640625" customWidth="1"/>
    <col min="5" max="5" width="12.1640625" customWidth="1"/>
    <col min="6" max="6" width="13.33203125" customWidth="1"/>
    <col min="7" max="7" width="10.83203125" customWidth="1"/>
    <col min="8" max="8" width="11" customWidth="1"/>
    <col min="9" max="9" width="7.6640625" customWidth="1"/>
    <col min="10" max="10" width="7.83203125" customWidth="1"/>
    <col min="11" max="11" width="8.5" customWidth="1"/>
    <col min="12" max="12" width="7.83203125" customWidth="1"/>
    <col min="13" max="13" width="7.5" customWidth="1"/>
  </cols>
  <sheetData>
    <row r="1" spans="1:30" ht="13" x14ac:dyDescent="0.15">
      <c r="A1" s="1"/>
      <c r="B1" s="2" t="s">
        <v>0</v>
      </c>
      <c r="C1" s="23" t="s">
        <v>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3" x14ac:dyDescent="0.15">
      <c r="A2" s="3" t="s">
        <v>11</v>
      </c>
      <c r="B2" s="4">
        <v>2</v>
      </c>
      <c r="C2" s="4">
        <f>E2+F2</f>
        <v>2640</v>
      </c>
      <c r="D2" s="5">
        <v>2640</v>
      </c>
      <c r="E2" s="4">
        <v>1530</v>
      </c>
      <c r="F2" s="6">
        <v>1110</v>
      </c>
      <c r="G2" s="7"/>
      <c r="H2" s="7"/>
      <c r="I2" s="8">
        <v>320</v>
      </c>
      <c r="J2" s="8">
        <v>320</v>
      </c>
      <c r="K2" s="8">
        <v>440</v>
      </c>
      <c r="L2" s="6">
        <v>480</v>
      </c>
      <c r="M2" s="8">
        <v>440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3" x14ac:dyDescent="0.15">
      <c r="A3" s="3" t="s">
        <v>12</v>
      </c>
      <c r="B3" s="4">
        <v>2</v>
      </c>
      <c r="C3" s="4">
        <f t="shared" ref="C3:C25" si="0">E3+F3</f>
        <v>2610</v>
      </c>
      <c r="D3" s="5">
        <v>2610</v>
      </c>
      <c r="E3" s="4">
        <v>1540</v>
      </c>
      <c r="F3" s="6">
        <v>1070</v>
      </c>
      <c r="G3" s="7"/>
      <c r="H3" s="7"/>
      <c r="I3" s="6">
        <v>480</v>
      </c>
      <c r="J3" s="8">
        <v>320</v>
      </c>
      <c r="K3" s="8">
        <v>360</v>
      </c>
      <c r="L3" s="8">
        <v>400</v>
      </c>
      <c r="M3" s="8">
        <v>410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3" x14ac:dyDescent="0.15">
      <c r="A4" s="9" t="s">
        <v>13</v>
      </c>
      <c r="B4" s="6">
        <v>1</v>
      </c>
      <c r="C4" s="27">
        <f t="shared" si="0"/>
        <v>2620</v>
      </c>
      <c r="D4" s="6">
        <v>2620</v>
      </c>
      <c r="E4" s="6">
        <v>1260</v>
      </c>
      <c r="F4" s="6">
        <v>1360</v>
      </c>
      <c r="G4" s="10"/>
      <c r="H4" s="7"/>
      <c r="I4" s="6">
        <v>480</v>
      </c>
      <c r="J4" s="8">
        <v>400</v>
      </c>
      <c r="K4" s="8">
        <v>440</v>
      </c>
      <c r="L4" s="6">
        <v>500</v>
      </c>
      <c r="M4" s="6">
        <v>480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3" x14ac:dyDescent="0.15">
      <c r="A5" s="9" t="s">
        <v>14</v>
      </c>
      <c r="B5" s="6">
        <v>1</v>
      </c>
      <c r="C5" s="26">
        <f t="shared" si="0"/>
        <v>2370</v>
      </c>
      <c r="D5" s="8">
        <v>2370</v>
      </c>
      <c r="E5" s="8">
        <v>860</v>
      </c>
      <c r="F5" s="4">
        <v>1510</v>
      </c>
      <c r="G5" s="10"/>
      <c r="H5" s="7"/>
      <c r="I5" s="8">
        <v>320</v>
      </c>
      <c r="J5" s="6">
        <v>480</v>
      </c>
      <c r="K5" s="8">
        <v>360</v>
      </c>
      <c r="L5" s="8">
        <v>440</v>
      </c>
      <c r="M5" s="8">
        <v>450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3" x14ac:dyDescent="0.15">
      <c r="A6" s="9" t="s">
        <v>15</v>
      </c>
      <c r="B6" s="6">
        <v>1</v>
      </c>
      <c r="C6" s="26">
        <f t="shared" si="0"/>
        <v>2330</v>
      </c>
      <c r="D6" s="8">
        <v>2330</v>
      </c>
      <c r="E6" s="6">
        <v>1140</v>
      </c>
      <c r="F6" s="6">
        <v>1190</v>
      </c>
      <c r="G6" s="10"/>
      <c r="H6" s="7"/>
      <c r="I6" s="8">
        <v>320</v>
      </c>
      <c r="J6" s="6">
        <v>480</v>
      </c>
      <c r="K6" s="8">
        <v>320</v>
      </c>
      <c r="L6" s="8">
        <v>420</v>
      </c>
      <c r="M6" s="8">
        <v>470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3" x14ac:dyDescent="0.15">
      <c r="A7" s="9" t="s">
        <v>16</v>
      </c>
      <c r="B7" s="6">
        <v>1</v>
      </c>
      <c r="C7" s="26">
        <f t="shared" si="0"/>
        <v>2210</v>
      </c>
      <c r="D7" s="8">
        <v>2210</v>
      </c>
      <c r="E7" s="6">
        <v>1130</v>
      </c>
      <c r="F7" s="6">
        <v>1080</v>
      </c>
      <c r="G7" s="10"/>
      <c r="H7" s="7"/>
      <c r="I7" s="11">
        <v>160</v>
      </c>
      <c r="J7" s="8">
        <v>400</v>
      </c>
      <c r="K7" s="8">
        <v>400</v>
      </c>
      <c r="L7" s="8">
        <v>460</v>
      </c>
      <c r="M7" s="8">
        <v>470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3" x14ac:dyDescent="0.15">
      <c r="A8" s="9" t="s">
        <v>17</v>
      </c>
      <c r="B8" s="6">
        <v>1</v>
      </c>
      <c r="C8" s="26">
        <f t="shared" si="0"/>
        <v>2160</v>
      </c>
      <c r="D8" s="8">
        <v>2160</v>
      </c>
      <c r="E8" s="6">
        <v>1270</v>
      </c>
      <c r="F8" s="8">
        <v>890</v>
      </c>
      <c r="G8" s="10"/>
      <c r="H8" s="10"/>
      <c r="I8" s="8">
        <v>320</v>
      </c>
      <c r="J8" s="6">
        <v>480</v>
      </c>
      <c r="K8" s="8">
        <v>400</v>
      </c>
      <c r="L8" s="6">
        <v>480</v>
      </c>
      <c r="M8" s="6">
        <v>480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3" x14ac:dyDescent="0.15">
      <c r="A9" s="9" t="s">
        <v>18</v>
      </c>
      <c r="B9" s="6">
        <v>1</v>
      </c>
      <c r="C9" s="24">
        <f>E9+F9</f>
        <v>1740</v>
      </c>
      <c r="D9" s="11">
        <v>1740</v>
      </c>
      <c r="E9" s="11">
        <v>660</v>
      </c>
      <c r="F9" s="6">
        <v>1080</v>
      </c>
      <c r="G9" s="10"/>
      <c r="H9" s="7"/>
      <c r="I9" s="11">
        <v>160</v>
      </c>
      <c r="J9" s="11">
        <v>160</v>
      </c>
      <c r="K9" s="8">
        <v>320</v>
      </c>
      <c r="L9" s="8">
        <v>320</v>
      </c>
      <c r="M9" s="8">
        <v>460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3" x14ac:dyDescent="0.15">
      <c r="A10" s="9" t="s">
        <v>19</v>
      </c>
      <c r="B10" s="5">
        <v>1</v>
      </c>
      <c r="C10" s="24">
        <f t="shared" si="0"/>
        <v>1620</v>
      </c>
      <c r="D10" s="11">
        <v>1620</v>
      </c>
      <c r="E10" s="6">
        <v>1240</v>
      </c>
      <c r="F10" s="11">
        <v>380</v>
      </c>
      <c r="G10" s="7"/>
      <c r="H10" s="10"/>
      <c r="I10" s="11">
        <v>160</v>
      </c>
      <c r="J10" s="11">
        <v>160</v>
      </c>
      <c r="K10" s="11">
        <v>200</v>
      </c>
      <c r="L10" s="8">
        <v>340</v>
      </c>
      <c r="M10" s="8">
        <v>440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3" x14ac:dyDescent="0.15">
      <c r="A11" s="12" t="s">
        <v>20</v>
      </c>
      <c r="B11" s="11" t="s">
        <v>21</v>
      </c>
      <c r="C11" s="25">
        <f t="shared" si="0"/>
        <v>1990</v>
      </c>
      <c r="D11" s="8">
        <v>1990</v>
      </c>
      <c r="E11" s="6">
        <v>1110</v>
      </c>
      <c r="F11" s="8">
        <v>880</v>
      </c>
      <c r="G11" s="10"/>
      <c r="H11" s="10"/>
      <c r="I11" s="11">
        <v>160</v>
      </c>
      <c r="J11" s="6">
        <v>480</v>
      </c>
      <c r="K11" s="8">
        <v>400</v>
      </c>
      <c r="L11" s="6">
        <v>480</v>
      </c>
      <c r="M11" s="8">
        <v>470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3" x14ac:dyDescent="0.15">
      <c r="A12" s="13" t="s">
        <v>22</v>
      </c>
      <c r="B12" s="11" t="s">
        <v>21</v>
      </c>
      <c r="C12" s="24">
        <f t="shared" si="0"/>
        <v>1340</v>
      </c>
      <c r="D12" s="11">
        <v>1340</v>
      </c>
      <c r="E12" s="8">
        <v>890</v>
      </c>
      <c r="F12" s="11">
        <v>450</v>
      </c>
      <c r="G12" s="10"/>
      <c r="H12" s="10"/>
      <c r="I12" s="11">
        <v>160</v>
      </c>
      <c r="J12" s="11">
        <v>160</v>
      </c>
      <c r="K12" s="11">
        <v>200</v>
      </c>
      <c r="L12" s="8">
        <v>380</v>
      </c>
      <c r="M12" s="8">
        <v>440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3" x14ac:dyDescent="0.15">
      <c r="A13" s="13" t="s">
        <v>23</v>
      </c>
      <c r="B13" s="11" t="s">
        <v>21</v>
      </c>
      <c r="C13" s="24">
        <f t="shared" si="0"/>
        <v>1260</v>
      </c>
      <c r="D13" s="11">
        <v>1260</v>
      </c>
      <c r="E13" s="11">
        <v>630</v>
      </c>
      <c r="F13" s="11">
        <v>630</v>
      </c>
      <c r="G13" s="11"/>
      <c r="H13" s="11"/>
      <c r="I13" s="11" t="s">
        <v>21</v>
      </c>
      <c r="J13" s="8">
        <v>320</v>
      </c>
      <c r="K13" s="11">
        <v>240</v>
      </c>
      <c r="L13" s="11">
        <v>280</v>
      </c>
      <c r="M13" s="8">
        <v>420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3" x14ac:dyDescent="0.15">
      <c r="A14" s="13" t="s">
        <v>24</v>
      </c>
      <c r="B14" s="11" t="s">
        <v>21</v>
      </c>
      <c r="C14" s="24">
        <f t="shared" si="0"/>
        <v>1180</v>
      </c>
      <c r="D14" s="11">
        <v>1180</v>
      </c>
      <c r="E14" s="11">
        <v>610</v>
      </c>
      <c r="F14" s="11">
        <v>570</v>
      </c>
      <c r="G14" s="11"/>
      <c r="H14" s="11"/>
      <c r="I14" s="11">
        <v>160</v>
      </c>
      <c r="J14" s="11">
        <v>80</v>
      </c>
      <c r="K14" s="11">
        <v>160</v>
      </c>
      <c r="L14" s="11">
        <v>300</v>
      </c>
      <c r="M14" s="5">
        <v>480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ht="13" x14ac:dyDescent="0.15">
      <c r="A15" s="13" t="s">
        <v>25</v>
      </c>
      <c r="B15" s="11" t="s">
        <v>21</v>
      </c>
      <c r="C15" s="24">
        <f t="shared" si="0"/>
        <v>1100</v>
      </c>
      <c r="D15" s="11">
        <v>1100</v>
      </c>
      <c r="E15" s="11">
        <v>550</v>
      </c>
      <c r="F15" s="11">
        <v>550</v>
      </c>
      <c r="G15" s="11"/>
      <c r="H15" s="11"/>
      <c r="I15" s="8">
        <v>320</v>
      </c>
      <c r="J15" s="11">
        <v>160</v>
      </c>
      <c r="K15" s="11">
        <v>80</v>
      </c>
      <c r="L15" s="11">
        <v>160</v>
      </c>
      <c r="M15" s="8">
        <v>380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6.5" customHeight="1" x14ac:dyDescent="0.15">
      <c r="A16" s="13" t="s">
        <v>26</v>
      </c>
      <c r="B16" s="11" t="s">
        <v>21</v>
      </c>
      <c r="C16" s="24">
        <f t="shared" si="0"/>
        <v>1070</v>
      </c>
      <c r="D16" s="11">
        <v>1070</v>
      </c>
      <c r="E16" s="11">
        <v>600</v>
      </c>
      <c r="F16" s="11">
        <v>470</v>
      </c>
      <c r="G16" s="11"/>
      <c r="H16" s="11"/>
      <c r="I16" s="11" t="s">
        <v>21</v>
      </c>
      <c r="J16" s="11">
        <v>80</v>
      </c>
      <c r="K16" s="11">
        <v>160</v>
      </c>
      <c r="L16" s="15">
        <v>380</v>
      </c>
      <c r="M16" s="15">
        <v>450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1:30" ht="13" x14ac:dyDescent="0.15">
      <c r="A17" s="13" t="s">
        <v>27</v>
      </c>
      <c r="B17" s="11" t="s">
        <v>21</v>
      </c>
      <c r="C17" s="24">
        <f t="shared" si="0"/>
        <v>1050</v>
      </c>
      <c r="D17" s="11">
        <v>1050</v>
      </c>
      <c r="E17" s="11">
        <v>720</v>
      </c>
      <c r="F17" s="11">
        <v>330</v>
      </c>
      <c r="G17" s="10"/>
      <c r="H17" s="10"/>
      <c r="I17" s="11" t="s">
        <v>21</v>
      </c>
      <c r="J17" s="11">
        <v>160</v>
      </c>
      <c r="K17" s="11">
        <v>280</v>
      </c>
      <c r="L17" s="11">
        <v>240</v>
      </c>
      <c r="M17" s="8">
        <v>370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3" x14ac:dyDescent="0.15">
      <c r="A18" s="13" t="s">
        <v>28</v>
      </c>
      <c r="B18" s="11" t="s">
        <v>21</v>
      </c>
      <c r="C18" s="24">
        <f t="shared" si="0"/>
        <v>1000</v>
      </c>
      <c r="D18" s="11">
        <v>1000</v>
      </c>
      <c r="E18" s="11">
        <v>640</v>
      </c>
      <c r="F18" s="11">
        <v>360</v>
      </c>
      <c r="G18" s="11"/>
      <c r="H18" s="11"/>
      <c r="I18" s="11" t="s">
        <v>21</v>
      </c>
      <c r="J18" s="11">
        <v>80</v>
      </c>
      <c r="K18" s="11">
        <v>160</v>
      </c>
      <c r="L18" s="15">
        <v>320</v>
      </c>
      <c r="M18" s="15">
        <v>440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1:30" ht="13" x14ac:dyDescent="0.15">
      <c r="A19" s="13" t="s">
        <v>29</v>
      </c>
      <c r="B19" s="11" t="s">
        <v>21</v>
      </c>
      <c r="C19" s="24">
        <f t="shared" si="0"/>
        <v>960</v>
      </c>
      <c r="D19" s="11">
        <v>960</v>
      </c>
      <c r="E19" s="11">
        <v>550</v>
      </c>
      <c r="F19" s="11">
        <v>410</v>
      </c>
      <c r="G19" s="11"/>
      <c r="H19" s="11"/>
      <c r="I19" s="11" t="s">
        <v>21</v>
      </c>
      <c r="J19" s="11">
        <v>80</v>
      </c>
      <c r="K19" s="11">
        <v>160</v>
      </c>
      <c r="L19" s="15">
        <v>320</v>
      </c>
      <c r="M19" s="15">
        <v>400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1:30" ht="13" x14ac:dyDescent="0.15">
      <c r="A20" s="13" t="s">
        <v>30</v>
      </c>
      <c r="B20" s="11" t="s">
        <v>21</v>
      </c>
      <c r="C20" s="24">
        <f t="shared" si="0"/>
        <v>860</v>
      </c>
      <c r="D20" s="11">
        <v>860</v>
      </c>
      <c r="E20" s="11">
        <v>430</v>
      </c>
      <c r="F20" s="11">
        <v>430</v>
      </c>
      <c r="G20" s="11"/>
      <c r="H20" s="11"/>
      <c r="I20" s="11" t="s">
        <v>21</v>
      </c>
      <c r="J20" s="11">
        <v>160</v>
      </c>
      <c r="K20" s="11">
        <v>80</v>
      </c>
      <c r="L20" s="11">
        <v>280</v>
      </c>
      <c r="M20" s="15">
        <v>340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3" x14ac:dyDescent="0.15">
      <c r="A21" s="13" t="s">
        <v>31</v>
      </c>
      <c r="B21" s="11" t="s">
        <v>21</v>
      </c>
      <c r="C21" s="24">
        <f t="shared" si="0"/>
        <v>660</v>
      </c>
      <c r="D21" s="11">
        <v>660</v>
      </c>
      <c r="E21" s="11">
        <v>320</v>
      </c>
      <c r="F21" s="11">
        <v>340</v>
      </c>
      <c r="G21" s="11"/>
      <c r="H21" s="11"/>
      <c r="I21" s="11" t="s">
        <v>21</v>
      </c>
      <c r="J21" s="11" t="s">
        <v>21</v>
      </c>
      <c r="K21" s="11">
        <v>80</v>
      </c>
      <c r="L21" s="11">
        <v>200</v>
      </c>
      <c r="M21" s="15">
        <v>380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spans="1:30" ht="13" x14ac:dyDescent="0.15">
      <c r="A22" s="13" t="s">
        <v>32</v>
      </c>
      <c r="B22" s="11" t="s">
        <v>21</v>
      </c>
      <c r="C22" s="24">
        <f t="shared" si="0"/>
        <v>620</v>
      </c>
      <c r="D22" s="11">
        <v>620</v>
      </c>
      <c r="E22" s="11">
        <v>310</v>
      </c>
      <c r="F22" s="11">
        <v>310</v>
      </c>
      <c r="G22" s="11"/>
      <c r="H22" s="11"/>
      <c r="I22" s="11" t="s">
        <v>21</v>
      </c>
      <c r="J22" s="11" t="s">
        <v>21</v>
      </c>
      <c r="K22" s="11">
        <v>80</v>
      </c>
      <c r="L22" s="11">
        <v>200</v>
      </c>
      <c r="M22" s="8">
        <v>340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3" x14ac:dyDescent="0.15">
      <c r="A23" s="13" t="s">
        <v>33</v>
      </c>
      <c r="B23" s="11" t="s">
        <v>21</v>
      </c>
      <c r="C23" s="24">
        <f t="shared" si="0"/>
        <v>540</v>
      </c>
      <c r="D23" s="11">
        <v>540</v>
      </c>
      <c r="E23" s="11">
        <v>410</v>
      </c>
      <c r="F23" s="11">
        <v>130</v>
      </c>
      <c r="G23" s="11"/>
      <c r="H23" s="11"/>
      <c r="I23" s="11" t="s">
        <v>21</v>
      </c>
      <c r="J23" s="11">
        <v>80</v>
      </c>
      <c r="K23" s="11">
        <v>120</v>
      </c>
      <c r="L23" s="11">
        <v>60</v>
      </c>
      <c r="M23" s="11">
        <v>260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spans="1:30" ht="13" x14ac:dyDescent="0.15">
      <c r="A24" s="13" t="s">
        <v>34</v>
      </c>
      <c r="B24" s="11" t="s">
        <v>21</v>
      </c>
      <c r="C24" s="24">
        <f t="shared" si="0"/>
        <v>540</v>
      </c>
      <c r="D24" s="11">
        <v>540</v>
      </c>
      <c r="E24" s="11">
        <v>230</v>
      </c>
      <c r="F24" s="11">
        <v>310</v>
      </c>
      <c r="G24" s="11"/>
      <c r="H24" s="11"/>
      <c r="I24" s="11" t="s">
        <v>21</v>
      </c>
      <c r="J24" s="11" t="s">
        <v>21</v>
      </c>
      <c r="K24" s="11">
        <v>40</v>
      </c>
      <c r="L24" s="11">
        <v>140</v>
      </c>
      <c r="M24" s="15">
        <v>360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spans="1:30" ht="13" x14ac:dyDescent="0.15">
      <c r="A25" s="13" t="s">
        <v>35</v>
      </c>
      <c r="B25" s="11" t="s">
        <v>21</v>
      </c>
      <c r="C25" s="24">
        <f t="shared" si="0"/>
        <v>380</v>
      </c>
      <c r="D25" s="11">
        <v>380</v>
      </c>
      <c r="E25" s="11">
        <v>120</v>
      </c>
      <c r="F25" s="11">
        <v>260</v>
      </c>
      <c r="G25" s="11"/>
      <c r="H25" s="11"/>
      <c r="I25" s="11" t="s">
        <v>21</v>
      </c>
      <c r="J25" s="11" t="s">
        <v>21</v>
      </c>
      <c r="K25" s="11" t="s">
        <v>21</v>
      </c>
      <c r="L25" s="11">
        <v>140</v>
      </c>
      <c r="M25" s="11">
        <v>220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spans="1:30" ht="13" x14ac:dyDescent="0.1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3" x14ac:dyDescent="0.15">
      <c r="A27" s="16" t="s">
        <v>36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3" x14ac:dyDescent="0.15">
      <c r="A28" s="3" t="s">
        <v>37</v>
      </c>
      <c r="B28" s="4" t="s">
        <v>38</v>
      </c>
      <c r="C28" s="4"/>
      <c r="D28" s="4" t="s">
        <v>39</v>
      </c>
      <c r="E28" s="4" t="s">
        <v>40</v>
      </c>
      <c r="F28" s="18"/>
      <c r="G28" s="4" t="s">
        <v>41</v>
      </c>
      <c r="H28" s="4"/>
      <c r="I28" s="4" t="s">
        <v>42</v>
      </c>
      <c r="J28" s="4" t="s">
        <v>43</v>
      </c>
      <c r="K28" s="4">
        <v>860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3" x14ac:dyDescent="0.15">
      <c r="A29" s="9" t="s">
        <v>44</v>
      </c>
      <c r="B29" s="6" t="s">
        <v>45</v>
      </c>
      <c r="C29" s="6"/>
      <c r="D29" s="6" t="s">
        <v>46</v>
      </c>
      <c r="E29" s="6" t="s">
        <v>47</v>
      </c>
      <c r="F29" s="19"/>
      <c r="G29" s="6"/>
      <c r="H29" s="6"/>
      <c r="I29" s="6" t="s">
        <v>48</v>
      </c>
      <c r="J29" s="6" t="s">
        <v>49</v>
      </c>
      <c r="K29" s="6">
        <v>720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3" x14ac:dyDescent="0.15">
      <c r="A30" s="12" t="s">
        <v>50</v>
      </c>
      <c r="B30" s="8"/>
      <c r="C30" s="8"/>
      <c r="D30" s="8" t="s">
        <v>51</v>
      </c>
      <c r="E30" s="8" t="s">
        <v>52</v>
      </c>
      <c r="F30" s="20"/>
      <c r="G30" s="8"/>
      <c r="H30" s="8"/>
      <c r="I30" s="8" t="s">
        <v>53</v>
      </c>
      <c r="J30" s="8" t="s">
        <v>54</v>
      </c>
      <c r="K30" s="8">
        <v>480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3" x14ac:dyDescent="0.15">
      <c r="A31" s="13" t="s">
        <v>55</v>
      </c>
      <c r="B31" s="11" t="s">
        <v>56</v>
      </c>
      <c r="C31" s="11"/>
      <c r="D31" s="11" t="s">
        <v>57</v>
      </c>
      <c r="E31" s="11" t="s">
        <v>58</v>
      </c>
      <c r="F31" s="21"/>
      <c r="G31" s="11" t="s">
        <v>59</v>
      </c>
      <c r="H31" s="11"/>
      <c r="I31" s="11" t="s">
        <v>60</v>
      </c>
      <c r="J31" s="11" t="s">
        <v>61</v>
      </c>
      <c r="K31" s="11" t="s">
        <v>62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3" x14ac:dyDescent="0.15">
      <c r="B32" s="2"/>
      <c r="C32" s="2"/>
      <c r="D32" s="2"/>
      <c r="E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3" x14ac:dyDescent="0.15">
      <c r="A33" s="2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3" x14ac:dyDescent="0.1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3" x14ac:dyDescent="0.1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3" x14ac:dyDescent="0.1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3" x14ac:dyDescent="0.1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3" x14ac:dyDescent="0.1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3" x14ac:dyDescent="0.1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3" x14ac:dyDescent="0.1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3" x14ac:dyDescent="0.1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3" x14ac:dyDescent="0.1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3" x14ac:dyDescent="0.1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3" x14ac:dyDescent="0.1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3" x14ac:dyDescent="0.1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3" x14ac:dyDescent="0.1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3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3" x14ac:dyDescent="0.1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3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3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3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3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3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3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3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3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3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3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3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3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3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3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3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3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3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3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3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3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3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3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3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3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3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3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3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3" x14ac:dyDescent="0.1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3" x14ac:dyDescent="0.1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3" x14ac:dyDescent="0.1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3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3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3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3" x14ac:dyDescent="0.1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3" x14ac:dyDescent="0.1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3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3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3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3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3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3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3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3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3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3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3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3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3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3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3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3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3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3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3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3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3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3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3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3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3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3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3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3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3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3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3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3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3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3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3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3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3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3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3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3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3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3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3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3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3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3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3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3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3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3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3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3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3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3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3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3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3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3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3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3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3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3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3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3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3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3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3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3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3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3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3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3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3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3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3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3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3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3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3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3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3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3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3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3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3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3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3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3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3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3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3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3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3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3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3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3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3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3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3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3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3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3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3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3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3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3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3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3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3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3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3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3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3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3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3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3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3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3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3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3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3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3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3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3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3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3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3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3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3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3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3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3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3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3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3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3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3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3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3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3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3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3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3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3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3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3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3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3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3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3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3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3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3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3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3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3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3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3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3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3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3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3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3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3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3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3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3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3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3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3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3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3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3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3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3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3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3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3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3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3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3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3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3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3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3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3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3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3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3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3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3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3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3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3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3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3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3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3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3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3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3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3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3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3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3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3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3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3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3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3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3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3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3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3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3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3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3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3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3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3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3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3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3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3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3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3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3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3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3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3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3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3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3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3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3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3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3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3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3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3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3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3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3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3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3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3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3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3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3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3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3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3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3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3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3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3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3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3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3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3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3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3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3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3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3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3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3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3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3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3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3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3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3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3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3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3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3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3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3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3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3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3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3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3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3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3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3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3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3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3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3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3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3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3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3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3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3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3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3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3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3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3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3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3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3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3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3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3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3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3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3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3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3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3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3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3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3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3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3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3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3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3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3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3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3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3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3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3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3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3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3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3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3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3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3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3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3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3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3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3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3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3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3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3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3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3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3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3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3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3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3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3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3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3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3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3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3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3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3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3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3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3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3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3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3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3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3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3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3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3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3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3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3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3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3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3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3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3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3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3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3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3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3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3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3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3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3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3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3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3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3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3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3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3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3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3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3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3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3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3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3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3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3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3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3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3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3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3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3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3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3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3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3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3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3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3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3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3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3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3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3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3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3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3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3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3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3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3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3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3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3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3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3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3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3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3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3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3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3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3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3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3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3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3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3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3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3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3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3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3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3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3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3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3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3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3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3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3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3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3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3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3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3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3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3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3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3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3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3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3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3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3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3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3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3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3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3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3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3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3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3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3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3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3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3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3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3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3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3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3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3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3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3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3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3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3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3" x14ac:dyDescent="0.1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3" x14ac:dyDescent="0.1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3" x14ac:dyDescent="0.1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3" x14ac:dyDescent="0.1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3" x14ac:dyDescent="0.1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3" x14ac:dyDescent="0.1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3" x14ac:dyDescent="0.1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3" x14ac:dyDescent="0.1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3" x14ac:dyDescent="0.1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3" x14ac:dyDescent="0.1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3" x14ac:dyDescent="0.1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3" x14ac:dyDescent="0.1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3" x14ac:dyDescent="0.1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3" x14ac:dyDescent="0.1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3" x14ac:dyDescent="0.1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3" x14ac:dyDescent="0.1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3" x14ac:dyDescent="0.1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3" x14ac:dyDescent="0.1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3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3" x14ac:dyDescent="0.1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3" x14ac:dyDescent="0.1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3" x14ac:dyDescent="0.1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3" x14ac:dyDescent="0.1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3" x14ac:dyDescent="0.1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3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3" x14ac:dyDescent="0.1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3" x14ac:dyDescent="0.1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3" x14ac:dyDescent="0.1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3" x14ac:dyDescent="0.1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3" x14ac:dyDescent="0.1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3" x14ac:dyDescent="0.1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3" x14ac:dyDescent="0.1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3" x14ac:dyDescent="0.1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3" x14ac:dyDescent="0.1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3" x14ac:dyDescent="0.1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3" x14ac:dyDescent="0.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3" x14ac:dyDescent="0.1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3" x14ac:dyDescent="0.1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3" x14ac:dyDescent="0.1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3" x14ac:dyDescent="0.1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3" x14ac:dyDescent="0.1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3" x14ac:dyDescent="0.1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3" x14ac:dyDescent="0.1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3" x14ac:dyDescent="0.1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3" x14ac:dyDescent="0.1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3" x14ac:dyDescent="0.1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3" x14ac:dyDescent="0.1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3" x14ac:dyDescent="0.1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3" x14ac:dyDescent="0.1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3" x14ac:dyDescent="0.1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3" x14ac:dyDescent="0.1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3" x14ac:dyDescent="0.1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3" x14ac:dyDescent="0.1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3" x14ac:dyDescent="0.1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3" x14ac:dyDescent="0.1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3" x14ac:dyDescent="0.1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3" x14ac:dyDescent="0.1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3" x14ac:dyDescent="0.1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3" x14ac:dyDescent="0.1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3" x14ac:dyDescent="0.1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3" x14ac:dyDescent="0.1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3" x14ac:dyDescent="0.1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3" x14ac:dyDescent="0.1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3" x14ac:dyDescent="0.1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3" x14ac:dyDescent="0.1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3" x14ac:dyDescent="0.1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3" x14ac:dyDescent="0.1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3" x14ac:dyDescent="0.1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3" x14ac:dyDescent="0.1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3" x14ac:dyDescent="0.1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3" x14ac:dyDescent="0.1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3" x14ac:dyDescent="0.1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3" x14ac:dyDescent="0.1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3" x14ac:dyDescent="0.1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3" x14ac:dyDescent="0.1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3" x14ac:dyDescent="0.1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3" x14ac:dyDescent="0.1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3" x14ac:dyDescent="0.1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3" x14ac:dyDescent="0.1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3" x14ac:dyDescent="0.1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3" x14ac:dyDescent="0.1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3" x14ac:dyDescent="0.1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3" x14ac:dyDescent="0.1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3" x14ac:dyDescent="0.1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3" x14ac:dyDescent="0.1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3" x14ac:dyDescent="0.1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3" x14ac:dyDescent="0.1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3" x14ac:dyDescent="0.1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3" x14ac:dyDescent="0.1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3" x14ac:dyDescent="0.1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3" x14ac:dyDescent="0.1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3" x14ac:dyDescent="0.1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3" x14ac:dyDescent="0.1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3" x14ac:dyDescent="0.1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3" x14ac:dyDescent="0.1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3" x14ac:dyDescent="0.1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3" x14ac:dyDescent="0.1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3" x14ac:dyDescent="0.1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3" x14ac:dyDescent="0.1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3" x14ac:dyDescent="0.1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3" x14ac:dyDescent="0.1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3" x14ac:dyDescent="0.1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3" x14ac:dyDescent="0.1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3" x14ac:dyDescent="0.1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3" x14ac:dyDescent="0.1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3" x14ac:dyDescent="0.1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3" x14ac:dyDescent="0.1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3" x14ac:dyDescent="0.1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3" x14ac:dyDescent="0.1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3" x14ac:dyDescent="0.1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3" x14ac:dyDescent="0.1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3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3" x14ac:dyDescent="0.1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3" x14ac:dyDescent="0.1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3" x14ac:dyDescent="0.1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3" x14ac:dyDescent="0.1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3" x14ac:dyDescent="0.1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3" x14ac:dyDescent="0.1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3" x14ac:dyDescent="0.1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3" x14ac:dyDescent="0.1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3" x14ac:dyDescent="0.1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3" x14ac:dyDescent="0.1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3" x14ac:dyDescent="0.1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3" x14ac:dyDescent="0.1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3" x14ac:dyDescent="0.1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3" x14ac:dyDescent="0.1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3" x14ac:dyDescent="0.1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3" x14ac:dyDescent="0.1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3" x14ac:dyDescent="0.1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3" x14ac:dyDescent="0.1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3" x14ac:dyDescent="0.1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3" x14ac:dyDescent="0.1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3" x14ac:dyDescent="0.1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3" x14ac:dyDescent="0.1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3" x14ac:dyDescent="0.1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3" x14ac:dyDescent="0.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3" x14ac:dyDescent="0.1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3" x14ac:dyDescent="0.1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3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3" x14ac:dyDescent="0.1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3" x14ac:dyDescent="0.1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3" x14ac:dyDescent="0.1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3" x14ac:dyDescent="0.1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3" x14ac:dyDescent="0.1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3" x14ac:dyDescent="0.1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3" x14ac:dyDescent="0.1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3" x14ac:dyDescent="0.1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3" x14ac:dyDescent="0.1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3" x14ac:dyDescent="0.1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3" x14ac:dyDescent="0.1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3" x14ac:dyDescent="0.1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3" x14ac:dyDescent="0.1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3" x14ac:dyDescent="0.1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3" x14ac:dyDescent="0.1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3" x14ac:dyDescent="0.1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3" x14ac:dyDescent="0.1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3" x14ac:dyDescent="0.1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3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3" x14ac:dyDescent="0.1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3" x14ac:dyDescent="0.1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3" x14ac:dyDescent="0.1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3" x14ac:dyDescent="0.1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3" x14ac:dyDescent="0.1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3" x14ac:dyDescent="0.1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3" x14ac:dyDescent="0.1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3" x14ac:dyDescent="0.1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3" x14ac:dyDescent="0.1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3" x14ac:dyDescent="0.1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3" x14ac:dyDescent="0.1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3" x14ac:dyDescent="0.1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3" x14ac:dyDescent="0.1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3" x14ac:dyDescent="0.1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3" x14ac:dyDescent="0.1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3" x14ac:dyDescent="0.1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3" x14ac:dyDescent="0.1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3" x14ac:dyDescent="0.1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3" x14ac:dyDescent="0.1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3" x14ac:dyDescent="0.1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3" x14ac:dyDescent="0.1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3" x14ac:dyDescent="0.1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3" x14ac:dyDescent="0.1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3" x14ac:dyDescent="0.1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3" x14ac:dyDescent="0.1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3" x14ac:dyDescent="0.1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3" x14ac:dyDescent="0.1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3" x14ac:dyDescent="0.1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3" x14ac:dyDescent="0.1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3" x14ac:dyDescent="0.1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3" x14ac:dyDescent="0.1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3" x14ac:dyDescent="0.1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3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3" x14ac:dyDescent="0.1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3" x14ac:dyDescent="0.1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3" x14ac:dyDescent="0.1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3" x14ac:dyDescent="0.1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3" x14ac:dyDescent="0.1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3" x14ac:dyDescent="0.1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3" x14ac:dyDescent="0.1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3" x14ac:dyDescent="0.1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3" x14ac:dyDescent="0.1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3" x14ac:dyDescent="0.1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3" x14ac:dyDescent="0.1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3" x14ac:dyDescent="0.1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3" x14ac:dyDescent="0.1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3" x14ac:dyDescent="0.1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3" x14ac:dyDescent="0.1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3" x14ac:dyDescent="0.1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3" x14ac:dyDescent="0.1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3" x14ac:dyDescent="0.1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3" x14ac:dyDescent="0.1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3" x14ac:dyDescent="0.1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3" x14ac:dyDescent="0.1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3" x14ac:dyDescent="0.1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3" x14ac:dyDescent="0.1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3" x14ac:dyDescent="0.1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3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3" x14ac:dyDescent="0.1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3" x14ac:dyDescent="0.1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3" x14ac:dyDescent="0.1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3" x14ac:dyDescent="0.1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3" x14ac:dyDescent="0.1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3" x14ac:dyDescent="0.1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3" x14ac:dyDescent="0.1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3" x14ac:dyDescent="0.1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3" x14ac:dyDescent="0.1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3" x14ac:dyDescent="0.1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3" x14ac:dyDescent="0.1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3" x14ac:dyDescent="0.1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3" x14ac:dyDescent="0.1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3" x14ac:dyDescent="0.1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3" x14ac:dyDescent="0.1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3" x14ac:dyDescent="0.1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3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3" x14ac:dyDescent="0.1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3" x14ac:dyDescent="0.1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3" x14ac:dyDescent="0.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3" x14ac:dyDescent="0.1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3" x14ac:dyDescent="0.1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3" x14ac:dyDescent="0.1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3" x14ac:dyDescent="0.1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3" x14ac:dyDescent="0.1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3" x14ac:dyDescent="0.1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3" x14ac:dyDescent="0.1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3" x14ac:dyDescent="0.1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3" x14ac:dyDescent="0.1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3" x14ac:dyDescent="0.1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3" x14ac:dyDescent="0.1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3" x14ac:dyDescent="0.1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3" x14ac:dyDescent="0.1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3" x14ac:dyDescent="0.1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3" x14ac:dyDescent="0.1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3" x14ac:dyDescent="0.1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3" x14ac:dyDescent="0.1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3" x14ac:dyDescent="0.1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3" x14ac:dyDescent="0.1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3" x14ac:dyDescent="0.1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3" x14ac:dyDescent="0.1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3" x14ac:dyDescent="0.1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3" x14ac:dyDescent="0.1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3" x14ac:dyDescent="0.1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3" x14ac:dyDescent="0.1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3" x14ac:dyDescent="0.1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3" x14ac:dyDescent="0.1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3" x14ac:dyDescent="0.1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3" x14ac:dyDescent="0.1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3" x14ac:dyDescent="0.1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3" x14ac:dyDescent="0.1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3" x14ac:dyDescent="0.1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3" x14ac:dyDescent="0.1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3" x14ac:dyDescent="0.1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3" x14ac:dyDescent="0.1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3" x14ac:dyDescent="0.1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3" x14ac:dyDescent="0.1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3" x14ac:dyDescent="0.1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3" x14ac:dyDescent="0.1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3" x14ac:dyDescent="0.1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3" x14ac:dyDescent="0.1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3" x14ac:dyDescent="0.1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3" x14ac:dyDescent="0.1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3" x14ac:dyDescent="0.1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3" x14ac:dyDescent="0.1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3" x14ac:dyDescent="0.1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3" x14ac:dyDescent="0.1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3" x14ac:dyDescent="0.1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3" x14ac:dyDescent="0.1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3" x14ac:dyDescent="0.1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3" x14ac:dyDescent="0.1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3" x14ac:dyDescent="0.1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3" x14ac:dyDescent="0.1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3" x14ac:dyDescent="0.1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3" x14ac:dyDescent="0.1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3" x14ac:dyDescent="0.1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3" x14ac:dyDescent="0.1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3" x14ac:dyDescent="0.1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3" x14ac:dyDescent="0.1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3" x14ac:dyDescent="0.1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3" x14ac:dyDescent="0.1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3" x14ac:dyDescent="0.1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3" x14ac:dyDescent="0.1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3" x14ac:dyDescent="0.1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3" x14ac:dyDescent="0.1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3" x14ac:dyDescent="0.1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3" x14ac:dyDescent="0.1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3" x14ac:dyDescent="0.1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3" x14ac:dyDescent="0.1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3" x14ac:dyDescent="0.1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3" x14ac:dyDescent="0.1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3" x14ac:dyDescent="0.1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3" x14ac:dyDescent="0.1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3" x14ac:dyDescent="0.1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3" x14ac:dyDescent="0.1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3" x14ac:dyDescent="0.1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3" x14ac:dyDescent="0.1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3" x14ac:dyDescent="0.1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3" x14ac:dyDescent="0.1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3" x14ac:dyDescent="0.1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3" x14ac:dyDescent="0.1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3" x14ac:dyDescent="0.1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3" x14ac:dyDescent="0.1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3" x14ac:dyDescent="0.1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3" x14ac:dyDescent="0.1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3" x14ac:dyDescent="0.1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3" x14ac:dyDescent="0.1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3" x14ac:dyDescent="0.1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3" x14ac:dyDescent="0.1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3" x14ac:dyDescent="0.1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3" x14ac:dyDescent="0.1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3" x14ac:dyDescent="0.1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3" x14ac:dyDescent="0.1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3" x14ac:dyDescent="0.1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3" x14ac:dyDescent="0.1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3" x14ac:dyDescent="0.1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3" x14ac:dyDescent="0.1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3" x14ac:dyDescent="0.1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3" x14ac:dyDescent="0.1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3" x14ac:dyDescent="0.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3" x14ac:dyDescent="0.1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3" x14ac:dyDescent="0.1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3" x14ac:dyDescent="0.1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3" x14ac:dyDescent="0.1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3" x14ac:dyDescent="0.1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3" x14ac:dyDescent="0.1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3" x14ac:dyDescent="0.1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3" x14ac:dyDescent="0.1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3" x14ac:dyDescent="0.1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3" x14ac:dyDescent="0.1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3" x14ac:dyDescent="0.1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3" x14ac:dyDescent="0.1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3" x14ac:dyDescent="0.1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3" x14ac:dyDescent="0.1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3" x14ac:dyDescent="0.1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3" x14ac:dyDescent="0.1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3" x14ac:dyDescent="0.1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3" x14ac:dyDescent="0.1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3" x14ac:dyDescent="0.1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3" x14ac:dyDescent="0.1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3" x14ac:dyDescent="0.1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3" x14ac:dyDescent="0.1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3" x14ac:dyDescent="0.1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3" x14ac:dyDescent="0.1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3" x14ac:dyDescent="0.1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3" x14ac:dyDescent="0.1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3" x14ac:dyDescent="0.1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3" x14ac:dyDescent="0.1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3" x14ac:dyDescent="0.1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3" x14ac:dyDescent="0.1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3" x14ac:dyDescent="0.1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3" x14ac:dyDescent="0.1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3" x14ac:dyDescent="0.1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3" x14ac:dyDescent="0.1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3" x14ac:dyDescent="0.1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3" x14ac:dyDescent="0.1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3" x14ac:dyDescent="0.1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3" x14ac:dyDescent="0.1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3" x14ac:dyDescent="0.1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3" x14ac:dyDescent="0.1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3" x14ac:dyDescent="0.1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3" x14ac:dyDescent="0.1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3" x14ac:dyDescent="0.1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3" x14ac:dyDescent="0.1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3" x14ac:dyDescent="0.1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3" x14ac:dyDescent="0.1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3" x14ac:dyDescent="0.1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3" x14ac:dyDescent="0.1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3" x14ac:dyDescent="0.1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3" x14ac:dyDescent="0.1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3" x14ac:dyDescent="0.1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3" x14ac:dyDescent="0.1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3" x14ac:dyDescent="0.1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3" x14ac:dyDescent="0.1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3" x14ac:dyDescent="0.1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3" x14ac:dyDescent="0.1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3" x14ac:dyDescent="0.1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3" x14ac:dyDescent="0.1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3" x14ac:dyDescent="0.1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3" x14ac:dyDescent="0.1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3" x14ac:dyDescent="0.1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3" x14ac:dyDescent="0.1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3" x14ac:dyDescent="0.1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3" x14ac:dyDescent="0.1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3" x14ac:dyDescent="0.1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3" x14ac:dyDescent="0.1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3" x14ac:dyDescent="0.1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3" x14ac:dyDescent="0.1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3" x14ac:dyDescent="0.1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3" x14ac:dyDescent="0.1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3" x14ac:dyDescent="0.1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3" x14ac:dyDescent="0.1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3" x14ac:dyDescent="0.1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3" x14ac:dyDescent="0.1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3" x14ac:dyDescent="0.1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3" x14ac:dyDescent="0.1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3" x14ac:dyDescent="0.1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3" x14ac:dyDescent="0.1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3" x14ac:dyDescent="0.1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3" x14ac:dyDescent="0.1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3" x14ac:dyDescent="0.1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3" x14ac:dyDescent="0.1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3" x14ac:dyDescent="0.1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13" x14ac:dyDescent="0.1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13" x14ac:dyDescent="0.1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13" x14ac:dyDescent="0.1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13" x14ac:dyDescent="0.1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13" x14ac:dyDescent="0.1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Martin</cp:lastModifiedBy>
  <dcterms:modified xsi:type="dcterms:W3CDTF">2026-02-17T02:43:00Z</dcterms:modified>
</cp:coreProperties>
</file>